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mpaign_Data" sheetId="2" state="visible" r:id="rId4"/>
    <sheet name="UTM_Builder" sheetId="3" state="visible" r:id="rId5"/>
    <sheet name="Event_Tracking" sheetId="4" state="visible" r:id="rId6"/>
    <sheet name="KPI_Target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<sst xmlns="http://schemas.openxmlformats.org/spreadsheetml/2006/main" count="138" uniqueCount="84">
  <si>
    <t xml:space="preserve">PHASE 2 ANALYTICS DASHBOARD TEMPLATE</t>
  </si>
  <si>
    <t xml:space="preserve">Metric</t>
  </si>
  <si>
    <t xml:space="preserve">Value</t>
  </si>
  <si>
    <t xml:space="preserve">Channel Summary</t>
  </si>
  <si>
    <t xml:space="preserve">Total Impressions</t>
  </si>
  <si>
    <t xml:space="preserve">Channel</t>
  </si>
  <si>
    <t xml:space="preserve">Impressions</t>
  </si>
  <si>
    <t xml:space="preserve">Clicks</t>
  </si>
  <si>
    <t xml:space="preserve">Conversions</t>
  </si>
  <si>
    <t xml:space="preserve">Revenue</t>
  </si>
  <si>
    <t xml:space="preserve">Total Clicks</t>
  </si>
  <si>
    <t xml:space="preserve">Instagram</t>
  </si>
  <si>
    <t xml:space="preserve">CTR</t>
  </si>
  <si>
    <t xml:space="preserve">Facebook</t>
  </si>
  <si>
    <t xml:space="preserve">Conversion Rate</t>
  </si>
  <si>
    <t xml:space="preserve">Google Ads</t>
  </si>
  <si>
    <t xml:space="preserve">Bounce Rate</t>
  </si>
  <si>
    <t xml:space="preserve">Twitter</t>
  </si>
  <si>
    <t xml:space="preserve">ROAS</t>
  </si>
  <si>
    <t xml:space="preserve">Organic Social</t>
  </si>
  <si>
    <t xml:space="preserve">Cost per Conversion</t>
  </si>
  <si>
    <t xml:space="preserve">Student Notes: Fill Campaign_Data with your campaign results or estimates. Update UTM_Builder and Event_Tracking for your project.</t>
  </si>
  <si>
    <t xml:space="preserve">Date</t>
  </si>
  <si>
    <t xml:space="preserve">Campaign</t>
  </si>
  <si>
    <t xml:space="preserve">Cost (€)</t>
  </si>
  <si>
    <t xml:space="preserve">Revenue (€)</t>
  </si>
  <si>
    <t xml:space="preserve">CPC</t>
  </si>
  <si>
    <t xml:space="preserve">phase2_campaign_1</t>
  </si>
  <si>
    <t xml:space="preserve">phase2_campaign_2</t>
  </si>
  <si>
    <t xml:space="preserve">phase2_campaign_3</t>
  </si>
  <si>
    <t xml:space="preserve">LinkedIn</t>
  </si>
  <si>
    <t xml:space="preserve">phase2_campaign_4</t>
  </si>
  <si>
    <t xml:space="preserve">Base URL</t>
  </si>
  <si>
    <t xml:space="preserve">utm_source</t>
  </si>
  <si>
    <t xml:space="preserve">utm_medium</t>
  </si>
  <si>
    <t xml:space="preserve">utm_campaign</t>
  </si>
  <si>
    <t xml:space="preserve">Final URL</t>
  </si>
  <si>
    <t xml:space="preserve">Notes</t>
  </si>
  <si>
    <t xml:space="preserve">https://example.com/product.html</t>
  </si>
  <si>
    <t xml:space="preserve">instagram</t>
  </si>
  <si>
    <t xml:space="preserve">social</t>
  </si>
  <si>
    <t xml:space="preserve">phase2_launch</t>
  </si>
  <si>
    <t xml:space="preserve">Organic post</t>
  </si>
  <si>
    <t xml:space="preserve">facebook</t>
  </si>
  <si>
    <t xml:space="preserve">cpc</t>
  </si>
  <si>
    <t xml:space="preserve">phase2_paid</t>
  </si>
  <si>
    <t xml:space="preserve">Paid ad</t>
  </si>
  <si>
    <t xml:space="preserve">https://example.com/category.html</t>
  </si>
  <si>
    <t xml:space="preserve">google</t>
  </si>
  <si>
    <t xml:space="preserve">search_campaign</t>
  </si>
  <si>
    <t xml:space="preserve">https://example.com/index.html</t>
  </si>
  <si>
    <t xml:space="preserve">linkedin</t>
  </si>
  <si>
    <t xml:space="preserve">b2b_awareness</t>
  </si>
  <si>
    <t xml:space="preserve">LinkedIn post</t>
  </si>
  <si>
    <t xml:space="preserve">Event Name</t>
  </si>
  <si>
    <t xml:space="preserve">Trigger</t>
  </si>
  <si>
    <t xml:space="preserve">Element/Class</t>
  </si>
  <si>
    <t xml:space="preserve">Page</t>
  </si>
  <si>
    <t xml:space="preserve">Purpose</t>
  </si>
  <si>
    <t xml:space="preserve">JS Example</t>
  </si>
  <si>
    <t xml:space="preserve">cta_click</t>
  </si>
  <si>
    <t xml:space="preserve">Click</t>
  </si>
  <si>
    <t xml:space="preserve">.cta</t>
  </si>
  <si>
    <t xml:space="preserve">product.html</t>
  </si>
  <si>
    <t xml:space="preserve">Measure primary CTA</t>
  </si>
  <si>
    <t xml:space="preserve">document.querySelector('.cta').addEventListener('click',()=&gt;console.log('cta_click'));</t>
  </si>
  <si>
    <t xml:space="preserve">add_to_cart</t>
  </si>
  <si>
    <t xml:space="preserve">.add-to-cart</t>
  </si>
  <si>
    <t xml:space="preserve">Measure cart intent</t>
  </si>
  <si>
    <t xml:space="preserve">console.log('add_to_cart');</t>
  </si>
  <si>
    <t xml:space="preserve">newsletter_signup</t>
  </si>
  <si>
    <t xml:space="preserve">Submit</t>
  </si>
  <si>
    <t xml:space="preserve">#newsletter</t>
  </si>
  <si>
    <t xml:space="preserve">index.html</t>
  </si>
  <si>
    <t xml:space="preserve">Measure leads</t>
  </si>
  <si>
    <t xml:space="preserve">console.log('newsletter_signup');</t>
  </si>
  <si>
    <t xml:space="preserve">share_click</t>
  </si>
  <si>
    <t xml:space="preserve">.share-btn</t>
  </si>
  <si>
    <t xml:space="preserve">Measure social sharing</t>
  </si>
  <si>
    <t xml:space="preserve">console.log('share_click');</t>
  </si>
  <si>
    <t xml:space="preserve">KPI</t>
  </si>
  <si>
    <t xml:space="preserve">Target</t>
  </si>
  <si>
    <t xml:space="preserve">Actual</t>
  </si>
  <si>
    <t xml:space="preserve">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</si>
</sst>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0.00"/>
    <numFmt numFmtId="166" formatCode="0.00%"/>
    <numFmt numFmtId="167" formatCode="0.00"/>
    <numFmt numFmtId="168" formatCode="yyyy\-mm\-dd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sz val="11"/>
      <color rgb="FF7F6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D9EAD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196B24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Performance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"Impressions"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Dashboard!$D$5:$D$9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Twitter</c:v>
                </c:pt>
                <c:pt idx="4">
                  <c:v>Organic Social</c:v>
                </c:pt>
              </c:strCache>
            </c:strRef>
          </c:cat>
          <c:val>
            <c:numRef>
              <c:f>Dashboard!$E$5:$E$9</c:f>
              <c:numCache>
                <c:formatCode>General</c:formatCode>
                <c:ptCount val="5"/>
                <c:pt idx="0">
                  <c:v>9400</c:v>
                </c:pt>
                <c:pt idx="1">
                  <c:v>10120</c:v>
                </c:pt>
                <c:pt idx="2">
                  <c:v>10840</c:v>
                </c:pt>
                <c:pt idx="3">
                  <c:v>10001</c:v>
                </c:pt>
                <c:pt idx="4">
                  <c:v>12280</c:v>
                </c:pt>
              </c:numCache>
            </c:numRef>
          </c:val>
        </c:ser>
        <c:ser>
          <c:idx val="1"/>
          <c:order val="1"/>
          <c:tx>
            <c:strRef>
              <c:f>"Clicks"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Dashboard!$D$5:$D$9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Twitter</c:v>
                </c:pt>
                <c:pt idx="4">
                  <c:v>Organic Social</c:v>
                </c:pt>
              </c:strCache>
            </c:strRef>
          </c:cat>
          <c:val>
            <c:numRef>
              <c:f>Dashboard!$F$5:$F$9</c:f>
              <c:numCache>
                <c:formatCode>General</c:formatCode>
                <c:ptCount val="5"/>
                <c:pt idx="0">
                  <c:v>305</c:v>
                </c:pt>
                <c:pt idx="1">
                  <c:v>333</c:v>
                </c:pt>
                <c:pt idx="2">
                  <c:v>361</c:v>
                </c:pt>
                <c:pt idx="3">
                  <c:v>350</c:v>
                </c:pt>
                <c:pt idx="4">
                  <c:v>332</c:v>
                </c:pt>
              </c:numCache>
            </c:numRef>
          </c:val>
        </c:ser>
        <c:ser>
          <c:idx val="2"/>
          <c:order val="2"/>
          <c:tx>
            <c:strRef>
              <c:f>"Conversions"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Dashboard!$D$5:$D$9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Twitter</c:v>
                </c:pt>
                <c:pt idx="4">
                  <c:v>Organic Social</c:v>
                </c:pt>
              </c:strCache>
            </c:strRef>
          </c:cat>
          <c:val>
            <c:numRef>
              <c:f>Dashboard!$G$5:$G$9</c:f>
              <c:numCache>
                <c:formatCode>General</c:formatCode>
                <c:ptCount val="5"/>
                <c:pt idx="0">
                  <c:v>44</c:v>
                </c:pt>
                <c:pt idx="1">
                  <c:v>38</c:v>
                </c:pt>
                <c:pt idx="2">
                  <c:v>32</c:v>
                </c:pt>
                <c:pt idx="3">
                  <c:v>34</c:v>
                </c:pt>
                <c:pt idx="4">
                  <c:v>38</c:v>
                </c:pt>
              </c:numCache>
            </c:numRef>
          </c:val>
        </c:ser>
        <c:ser>
          <c:idx val="3"/>
          <c:order val="3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Dashboard!$D$5:$D$9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Twitter</c:v>
                </c:pt>
                <c:pt idx="4">
                  <c:v>Organic Social</c:v>
                </c:pt>
              </c:strCache>
            </c:strRef>
          </c:cat>
          <c:val>
            <c:numRef>
              <c:f>Dashboard!$H$5:$H$9</c:f>
              <c:numCache>
                <c:formatCode>\€0.00</c:formatCode>
                <c:ptCount val="5"/>
                <c:pt idx="0">
                  <c:v>792</c:v>
                </c:pt>
                <c:pt idx="1">
                  <c:v>836</c:v>
                </c:pt>
                <c:pt idx="2">
                  <c:v>832</c:v>
                </c:pt>
                <c:pt idx="3">
                  <c:v>829</c:v>
                </c:pt>
                <c:pt idx="4">
                  <c:v>1292</c:v>
                </c:pt>
              </c:numCache>
            </c:numRef>
          </c:val>
        </c:ser>
        <c:gapWidth val="150"/>
        <c:overlap val="0"/>
        <c:axId val="13722652"/>
        <c:axId val="45837055"/>
      </c:barChart>
      <c:catAx>
        <c:axId val="1372265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837055"/>
        <c:crosses val="autoZero"/>
        <c:auto val="1"/>
        <c:lblAlgn val="ctr"/>
        <c:lblOffset val="100"/>
        <c:noMultiLvlLbl val="0"/>
      </c:catAx>
      <c:valAx>
        <c:axId val="4583705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37226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7</xdr:col>
      <xdr:colOff>520920</xdr:colOff>
      <xdr:row>29</xdr:row>
      <xdr:rowOff>130320</xdr:rowOff>
    </xdr:to>
    <xdr:graphicFrame>
      <xdr:nvGraphicFramePr>
        <xdr:cNvPr id="1" name="Chart"/>
        <xdr:cNvGraphicFramePr/>
      </xdr:nvGraphicFramePr>
      <xdr:xfrm>
        <a:off x="0" y="2476440"/>
        <a:ext cx="118335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mpaignDataTable" displayName="CampaignDataTable" ref="A1:K21" headerRowCount="1" totalsRowCount="0" totalsRowShown="0">
  <tableColumns count="11">
    <tableColumn id="1" name="Date"/>
    <tableColumn id="2" name="Channel"/>
    <tableColumn id="3" name="Campaign"/>
    <tableColumn id="4" name="Impressions"/>
    <tableColumn id="5" name="Clicks"/>
    <tableColumn id="6" name="Cost (€)"/>
    <tableColumn id="7" name="Conversions"/>
    <tableColumn id="8" name="Revenue (€)"/>
    <tableColumn id="9" name="CTR"/>
    <tableColumn id="10" name="CPC"/>
    <tableColumn id="11" name="ROA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7.39"/>
    <col collapsed="false" customWidth="true" hidden="false" outlineLevel="0" max="2" min="2" style="0" width="5.79"/>
    <col collapsed="false" customWidth="true" hidden="false" outlineLevel="0" max="4" min="4" style="0" width="14.8"/>
    <col collapsed="false" customWidth="true" hidden="false" outlineLevel="0" max="5" min="5" style="0" width="9.69"/>
    <col collapsed="false" customWidth="true" hidden="false" outlineLevel="0" max="6" min="6" style="0" width="4.44"/>
    <col collapsed="false" customWidth="true" hidden="false" outlineLevel="0" max="7" min="7" style="0" width="9.83"/>
    <col collapsed="false" customWidth="true" hidden="false" outlineLevel="0" max="8" min="8" style="0" width="7.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D3" s="2" t="s">
        <v>3</v>
      </c>
      <c r="E3" s="2"/>
      <c r="F3" s="2"/>
      <c r="G3" s="2"/>
      <c r="H3" s="2"/>
    </row>
    <row r="4" customFormat="false" ht="15" hidden="false" customHeight="false" outlineLevel="0" collapsed="false">
      <c r="A4" s="0" t="s">
        <v>4</v>
      </c>
      <c r="B4" s="0" t="n">
        <f aca="false">SUM(Campaign_Data!D2:D21)</f>
        <v>54200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0" t="s">
        <v>10</v>
      </c>
      <c r="B5" s="0" t="n">
        <f aca="false">SUM(Campaign_Data!E2:E21)</f>
        <v>1635</v>
      </c>
      <c r="D5" s="0" t="s">
        <v>11</v>
      </c>
      <c r="E5" s="0" t="n">
        <f aca="false">SUMIF(Campaign_Data!B:B,D5,Campaign_Data!D:D)</f>
        <v>9400</v>
      </c>
      <c r="F5" s="0" t="n">
        <f aca="false">SUMIF(Campaign_Data!B:B,D5,Campaign_Data!E:E)</f>
        <v>305</v>
      </c>
      <c r="G5" s="0" t="n">
        <f aca="false">SUMIF(Campaign_Data!B:B,D5,Campaign_Data!G:G)</f>
        <v>44</v>
      </c>
      <c r="H5" s="4" t="n">
        <f aca="false">SUMIF(Campaign_Data!B:B,D5,Campaign_Data!H:H)</f>
        <v>792</v>
      </c>
    </row>
    <row r="6" customFormat="false" ht="15" hidden="false" customHeight="false" outlineLevel="0" collapsed="false">
      <c r="A6" s="0" t="s">
        <v>12</v>
      </c>
      <c r="B6" s="5" t="n">
        <f aca="false">IFERROR(B5/B4,0)</f>
        <v>0.0301660516605166</v>
      </c>
      <c r="D6" s="0" t="s">
        <v>13</v>
      </c>
      <c r="E6" s="0" t="n">
        <f aca="false">SUMIF(Campaign_Data!B:B,D6,Campaign_Data!D:D)</f>
        <v>10120</v>
      </c>
      <c r="F6" s="0" t="n">
        <f aca="false">SUMIF(Campaign_Data!B:B,D6,Campaign_Data!E:E)</f>
        <v>333</v>
      </c>
      <c r="G6" s="0" t="n">
        <f aca="false">SUMIF(Campaign_Data!B:B,D6,Campaign_Data!G:G)</f>
        <v>38</v>
      </c>
      <c r="H6" s="4" t="n">
        <f aca="false">SUMIF(Campaign_Data!B:B,D6,Campaign_Data!H:H)</f>
        <v>836</v>
      </c>
    </row>
    <row r="7" customFormat="false" ht="15" hidden="false" customHeight="false" outlineLevel="0" collapsed="false">
      <c r="A7" s="0" t="s">
        <v>14</v>
      </c>
      <c r="B7" s="5" t="n">
        <f aca="false">IFERROR(SUM(Campaign_Data!G2:G21)/B5,0)</f>
        <v>0.108868501529052</v>
      </c>
      <c r="D7" s="0" t="s">
        <v>15</v>
      </c>
      <c r="E7" s="0" t="n">
        <f aca="false">SUMIF(Campaign_Data!B:B,D7,Campaign_Data!D:D)</f>
        <v>10840</v>
      </c>
      <c r="F7" s="0" t="n">
        <f aca="false">SUMIF(Campaign_Data!B:B,D7,Campaign_Data!E:E)</f>
        <v>361</v>
      </c>
      <c r="G7" s="0" t="n">
        <f aca="false">SUMIF(Campaign_Data!B:B,D7,Campaign_Data!G:G)</f>
        <v>32</v>
      </c>
      <c r="H7" s="4" t="n">
        <f aca="false">SUMIF(Campaign_Data!B:B,D7,Campaign_Data!H:H)</f>
        <v>832</v>
      </c>
    </row>
    <row r="8" customFormat="false" ht="15" hidden="false" customHeight="false" outlineLevel="0" collapsed="false">
      <c r="A8" s="0" t="s">
        <v>16</v>
      </c>
      <c r="B8" s="5" t="n">
        <v>0.48</v>
      </c>
      <c r="D8" s="0" t="s">
        <v>17</v>
      </c>
      <c r="E8" s="0" t="n">
        <v>10001</v>
      </c>
      <c r="F8" s="0" t="n">
        <v>350</v>
      </c>
      <c r="G8" s="0" t="n">
        <v>34</v>
      </c>
      <c r="H8" s="4" t="n">
        <v>829</v>
      </c>
    </row>
    <row r="9" customFormat="false" ht="15" hidden="false" customHeight="false" outlineLevel="0" collapsed="false">
      <c r="A9" s="0" t="s">
        <v>18</v>
      </c>
      <c r="B9" s="6" t="n">
        <f aca="false">IFERROR(SUM(Campaign_Data!H2:H21)/SUM(Campaign_Data!F2:F21),0)</f>
        <v>5.05803571428571</v>
      </c>
      <c r="D9" s="0" t="s">
        <v>19</v>
      </c>
      <c r="E9" s="0" t="n">
        <f aca="false">SUMIF(Campaign_Data!B:B,D9,Campaign_Data!D:D)</f>
        <v>12280</v>
      </c>
      <c r="F9" s="0" t="n">
        <f aca="false">SUMIF(Campaign_Data!B:B,D9,Campaign_Data!E:E)</f>
        <v>332</v>
      </c>
      <c r="G9" s="0" t="n">
        <f aca="false">SUMIF(Campaign_Data!B:B,D9,Campaign_Data!G:G)</f>
        <v>38</v>
      </c>
      <c r="H9" s="4" t="n">
        <f aca="false">SUMIF(Campaign_Data!B:B,D9,Campaign_Data!H:H)</f>
        <v>1292</v>
      </c>
    </row>
    <row r="10" customFormat="false" ht="15" hidden="false" customHeight="false" outlineLevel="0" collapsed="false">
      <c r="A10" s="0" t="s">
        <v>20</v>
      </c>
      <c r="B10" s="4" t="n">
        <f aca="false">IFERROR(SUM(Campaign_Data!F2:F21)/SUM(Campaign_Data!G2:G21),0)</f>
        <v>5.03370786516854</v>
      </c>
    </row>
    <row r="12" customFormat="false" ht="15" hidden="false" customHeight="false" outlineLevel="0" collapsed="false">
      <c r="A12" s="7" t="s">
        <v>21</v>
      </c>
      <c r="B12" s="7"/>
      <c r="C12" s="7"/>
      <c r="D12" s="7"/>
      <c r="E12" s="7"/>
      <c r="F12" s="7"/>
      <c r="G12" s="7"/>
      <c r="H12" s="7"/>
    </row>
  </sheetData>
  <mergeCells count="3">
    <mergeCell ref="A1:H1"/>
    <mergeCell ref="D3:H3"/>
    <mergeCell ref="A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15"/>
    <col collapsed="false" customWidth="true" hidden="false" outlineLevel="0" max="2" min="2" style="0" width="11.17"/>
    <col collapsed="false" customWidth="true" hidden="false" outlineLevel="0" max="3" min="3" style="0" width="16.43"/>
    <col collapsed="false" customWidth="true" hidden="false" outlineLevel="0" max="4" min="4" style="0" width="12.38"/>
    <col collapsed="false" customWidth="true" hidden="false" outlineLevel="0" max="5" min="5" style="0" width="7.12"/>
    <col collapsed="false" customWidth="true" hidden="false" outlineLevel="0" max="6" min="6" style="0" width="8.88"/>
    <col collapsed="false" customWidth="true" hidden="false" outlineLevel="0" max="7" min="7" style="0" width="12.52"/>
    <col collapsed="false" customWidth="true" hidden="false" outlineLevel="0" max="8" min="8" style="0" width="12.38"/>
    <col collapsed="false" customWidth="true" hidden="false" outlineLevel="0" max="10" min="9" style="0" width="5.79"/>
    <col collapsed="false" customWidth="true" hidden="false" outlineLevel="0" max="11" min="11" style="0" width="7.12"/>
  </cols>
  <sheetData>
    <row r="1" customFormat="false" ht="15" hidden="false" customHeight="false" outlineLevel="0" collapsed="false">
      <c r="A1" s="2" t="s">
        <v>22</v>
      </c>
      <c r="B1" s="2" t="s">
        <v>5</v>
      </c>
      <c r="C1" s="2" t="s">
        <v>23</v>
      </c>
      <c r="D1" s="2" t="s">
        <v>6</v>
      </c>
      <c r="E1" s="2" t="s">
        <v>7</v>
      </c>
      <c r="F1" s="2" t="s">
        <v>24</v>
      </c>
      <c r="G1" s="2" t="s">
        <v>8</v>
      </c>
      <c r="H1" s="2" t="s">
        <v>25</v>
      </c>
      <c r="I1" s="2" t="s">
        <v>12</v>
      </c>
      <c r="J1" s="2" t="s">
        <v>26</v>
      </c>
      <c r="K1" s="2" t="s">
        <v>18</v>
      </c>
    </row>
    <row r="2" customFormat="false" ht="15" hidden="false" customHeight="false" outlineLevel="0" collapsed="false">
      <c r="A2" s="8" t="n">
        <v>46023</v>
      </c>
      <c r="B2" s="0" t="s">
        <v>11</v>
      </c>
      <c r="C2" s="0" t="s">
        <v>27</v>
      </c>
      <c r="D2" s="0" t="n">
        <v>1000</v>
      </c>
      <c r="E2" s="0" t="n">
        <v>45</v>
      </c>
      <c r="F2" s="4" t="n">
        <v>20</v>
      </c>
      <c r="G2" s="0" t="n">
        <v>2</v>
      </c>
      <c r="H2" s="4" t="n">
        <v>36</v>
      </c>
      <c r="I2" s="5" t="n">
        <f aca="false">IFERROR(E2/D2,0)</f>
        <v>0.045</v>
      </c>
      <c r="J2" s="4" t="n">
        <f aca="false">IFERROR(F2/E2,0)</f>
        <v>0.444444444444444</v>
      </c>
      <c r="K2" s="6" t="n">
        <f aca="false">IFERROR(H2/F2,0)</f>
        <v>1.8</v>
      </c>
    </row>
    <row r="3" customFormat="false" ht="15" hidden="false" customHeight="false" outlineLevel="0" collapsed="false">
      <c r="A3" s="8" t="n">
        <v>46024</v>
      </c>
      <c r="B3" s="0" t="s">
        <v>13</v>
      </c>
      <c r="C3" s="0" t="s">
        <v>28</v>
      </c>
      <c r="D3" s="0" t="n">
        <v>1180</v>
      </c>
      <c r="E3" s="0" t="n">
        <v>52</v>
      </c>
      <c r="F3" s="4" t="n">
        <v>29</v>
      </c>
      <c r="G3" s="0" t="n">
        <v>5</v>
      </c>
      <c r="H3" s="4" t="n">
        <v>110</v>
      </c>
      <c r="I3" s="5" t="n">
        <f aca="false">IFERROR(E3/D3,0)</f>
        <v>0.0440677966101695</v>
      </c>
      <c r="J3" s="4" t="n">
        <f aca="false">IFERROR(F3/E3,0)</f>
        <v>0.557692307692308</v>
      </c>
      <c r="K3" s="6" t="n">
        <f aca="false">IFERROR(H3/F3,0)</f>
        <v>3.79310344827586</v>
      </c>
    </row>
    <row r="4" customFormat="false" ht="15" hidden="false" customHeight="false" outlineLevel="0" collapsed="false">
      <c r="A4" s="8" t="n">
        <v>46025</v>
      </c>
      <c r="B4" s="0" t="s">
        <v>15</v>
      </c>
      <c r="C4" s="0" t="s">
        <v>29</v>
      </c>
      <c r="D4" s="0" t="n">
        <v>1360</v>
      </c>
      <c r="E4" s="0" t="n">
        <v>59</v>
      </c>
      <c r="F4" s="4" t="n">
        <v>38</v>
      </c>
      <c r="G4" s="0" t="n">
        <v>8</v>
      </c>
      <c r="H4" s="4" t="n">
        <v>208</v>
      </c>
      <c r="I4" s="5" t="n">
        <f aca="false">IFERROR(E4/D4,0)</f>
        <v>0.0433823529411765</v>
      </c>
      <c r="J4" s="4" t="n">
        <f aca="false">IFERROR(F4/E4,0)</f>
        <v>0.644067796610169</v>
      </c>
      <c r="K4" s="6" t="n">
        <f aca="false">IFERROR(H4/F4,0)</f>
        <v>5.47368421052632</v>
      </c>
    </row>
    <row r="5" customFormat="false" ht="15" hidden="false" customHeight="false" outlineLevel="0" collapsed="false">
      <c r="A5" s="8" t="n">
        <v>46026</v>
      </c>
      <c r="B5" s="0" t="s">
        <v>30</v>
      </c>
      <c r="C5" s="0" t="s">
        <v>31</v>
      </c>
      <c r="D5" s="0" t="n">
        <v>1540</v>
      </c>
      <c r="E5" s="0" t="n">
        <v>66</v>
      </c>
      <c r="F5" s="4" t="n">
        <v>47</v>
      </c>
      <c r="G5" s="0" t="n">
        <v>11</v>
      </c>
      <c r="H5" s="4" t="n">
        <v>330</v>
      </c>
      <c r="I5" s="5" t="n">
        <f aca="false">IFERROR(E5/D5,0)</f>
        <v>0.0428571428571429</v>
      </c>
      <c r="J5" s="4" t="n">
        <f aca="false">IFERROR(F5/E5,0)</f>
        <v>0.712121212121212</v>
      </c>
      <c r="K5" s="6" t="n">
        <f aca="false">IFERROR(H5/F5,0)</f>
        <v>7.02127659574468</v>
      </c>
    </row>
    <row r="6" customFormat="false" ht="15" hidden="false" customHeight="false" outlineLevel="0" collapsed="false">
      <c r="A6" s="8" t="n">
        <v>46027</v>
      </c>
      <c r="B6" s="0" t="s">
        <v>19</v>
      </c>
      <c r="C6" s="0" t="s">
        <v>27</v>
      </c>
      <c r="D6" s="0" t="n">
        <v>1720</v>
      </c>
      <c r="E6" s="0" t="n">
        <v>73</v>
      </c>
      <c r="F6" s="4" t="n">
        <v>0</v>
      </c>
      <c r="G6" s="0" t="n">
        <v>14</v>
      </c>
      <c r="H6" s="4" t="n">
        <v>476</v>
      </c>
      <c r="I6" s="5" t="n">
        <f aca="false">IFERROR(E6/D6,0)</f>
        <v>0.0424418604651163</v>
      </c>
      <c r="J6" s="4" t="n">
        <f aca="false">IFERROR(F6/E6,0)</f>
        <v>0</v>
      </c>
      <c r="K6" s="6" t="n">
        <f aca="false">IFERROR(H6/F6,0)</f>
        <v>0</v>
      </c>
    </row>
    <row r="7" customFormat="false" ht="15" hidden="false" customHeight="false" outlineLevel="0" collapsed="false">
      <c r="A7" s="8" t="n">
        <v>46028</v>
      </c>
      <c r="B7" s="0" t="s">
        <v>11</v>
      </c>
      <c r="C7" s="0" t="s">
        <v>28</v>
      </c>
      <c r="D7" s="0" t="n">
        <v>1900</v>
      </c>
      <c r="E7" s="0" t="n">
        <v>80</v>
      </c>
      <c r="F7" s="4" t="n">
        <v>65</v>
      </c>
      <c r="G7" s="0" t="n">
        <v>17</v>
      </c>
      <c r="H7" s="4" t="n">
        <v>306</v>
      </c>
      <c r="I7" s="5" t="n">
        <f aca="false">IFERROR(E7/D7,0)</f>
        <v>0.0421052631578947</v>
      </c>
      <c r="J7" s="4" t="n">
        <f aca="false">IFERROR(F7/E7,0)</f>
        <v>0.8125</v>
      </c>
      <c r="K7" s="6" t="n">
        <f aca="false">IFERROR(H7/F7,0)</f>
        <v>4.70769230769231</v>
      </c>
    </row>
    <row r="8" customFormat="false" ht="15" hidden="false" customHeight="false" outlineLevel="0" collapsed="false">
      <c r="A8" s="8" t="n">
        <v>46029</v>
      </c>
      <c r="B8" s="0" t="s">
        <v>13</v>
      </c>
      <c r="C8" s="0" t="s">
        <v>29</v>
      </c>
      <c r="D8" s="0" t="n">
        <v>2080</v>
      </c>
      <c r="E8" s="0" t="n">
        <v>87</v>
      </c>
      <c r="F8" s="4" t="n">
        <v>74</v>
      </c>
      <c r="G8" s="0" t="n">
        <v>2</v>
      </c>
      <c r="H8" s="4" t="n">
        <v>44</v>
      </c>
      <c r="I8" s="5" t="n">
        <f aca="false">IFERROR(E8/D8,0)</f>
        <v>0.0418269230769231</v>
      </c>
      <c r="J8" s="4" t="n">
        <f aca="false">IFERROR(F8/E8,0)</f>
        <v>0.850574712643678</v>
      </c>
      <c r="K8" s="6" t="n">
        <f aca="false">IFERROR(H8/F8,0)</f>
        <v>0.594594594594595</v>
      </c>
    </row>
    <row r="9" customFormat="false" ht="15" hidden="false" customHeight="false" outlineLevel="0" collapsed="false">
      <c r="A9" s="8" t="n">
        <v>46030</v>
      </c>
      <c r="B9" s="0" t="s">
        <v>15</v>
      </c>
      <c r="C9" s="0" t="s">
        <v>31</v>
      </c>
      <c r="D9" s="0" t="n">
        <v>2260</v>
      </c>
      <c r="E9" s="0" t="n">
        <v>94</v>
      </c>
      <c r="F9" s="4" t="n">
        <v>83</v>
      </c>
      <c r="G9" s="0" t="n">
        <v>5</v>
      </c>
      <c r="H9" s="4" t="n">
        <v>130</v>
      </c>
      <c r="I9" s="5" t="n">
        <f aca="false">IFERROR(E9/D9,0)</f>
        <v>0.0415929203539823</v>
      </c>
      <c r="J9" s="4" t="n">
        <f aca="false">IFERROR(F9/E9,0)</f>
        <v>0.882978723404255</v>
      </c>
      <c r="K9" s="6" t="n">
        <f aca="false">IFERROR(H9/F9,0)</f>
        <v>1.56626506024096</v>
      </c>
    </row>
    <row r="10" customFormat="false" ht="15" hidden="false" customHeight="false" outlineLevel="0" collapsed="false">
      <c r="A10" s="8" t="n">
        <v>46031</v>
      </c>
      <c r="B10" s="0" t="s">
        <v>30</v>
      </c>
      <c r="C10" s="0" t="s">
        <v>27</v>
      </c>
      <c r="D10" s="0" t="n">
        <v>2440</v>
      </c>
      <c r="E10" s="0" t="n">
        <v>101</v>
      </c>
      <c r="F10" s="4" t="n">
        <v>92</v>
      </c>
      <c r="G10" s="0" t="n">
        <v>8</v>
      </c>
      <c r="H10" s="4" t="n">
        <v>240</v>
      </c>
      <c r="I10" s="5" t="n">
        <f aca="false">IFERROR(E10/D10,0)</f>
        <v>0.0413934426229508</v>
      </c>
      <c r="J10" s="4" t="n">
        <f aca="false">IFERROR(F10/E10,0)</f>
        <v>0.910891089108911</v>
      </c>
      <c r="K10" s="6" t="n">
        <f aca="false">IFERROR(H10/F10,0)</f>
        <v>2.60869565217391</v>
      </c>
    </row>
    <row r="11" customFormat="false" ht="15" hidden="false" customHeight="false" outlineLevel="0" collapsed="false">
      <c r="A11" s="8" t="n">
        <v>46032</v>
      </c>
      <c r="B11" s="0" t="s">
        <v>19</v>
      </c>
      <c r="C11" s="0" t="s">
        <v>28</v>
      </c>
      <c r="D11" s="0" t="n">
        <v>2620</v>
      </c>
      <c r="E11" s="0" t="n">
        <v>108</v>
      </c>
      <c r="F11" s="4" t="n">
        <v>0</v>
      </c>
      <c r="G11" s="0" t="n">
        <v>11</v>
      </c>
      <c r="H11" s="4" t="n">
        <v>374</v>
      </c>
      <c r="I11" s="5" t="n">
        <f aca="false">IFERROR(E11/D11,0)</f>
        <v>0.0412213740458015</v>
      </c>
      <c r="J11" s="4" t="n">
        <f aca="false">IFERROR(F11/E11,0)</f>
        <v>0</v>
      </c>
      <c r="K11" s="6" t="n">
        <f aca="false">IFERROR(H11/F11,0)</f>
        <v>0</v>
      </c>
    </row>
    <row r="12" customFormat="false" ht="15" hidden="false" customHeight="false" outlineLevel="0" collapsed="false">
      <c r="A12" s="8" t="n">
        <v>46033</v>
      </c>
      <c r="B12" s="0" t="s">
        <v>11</v>
      </c>
      <c r="C12" s="0" t="s">
        <v>29</v>
      </c>
      <c r="D12" s="0" t="n">
        <v>2800</v>
      </c>
      <c r="E12" s="0" t="n">
        <v>115</v>
      </c>
      <c r="F12" s="4" t="n">
        <v>20</v>
      </c>
      <c r="G12" s="0" t="n">
        <v>14</v>
      </c>
      <c r="H12" s="4" t="n">
        <v>252</v>
      </c>
      <c r="I12" s="5" t="n">
        <f aca="false">IFERROR(E12/D12,0)</f>
        <v>0.0410714285714286</v>
      </c>
      <c r="J12" s="4" t="n">
        <f aca="false">IFERROR(F12/E12,0)</f>
        <v>0.173913043478261</v>
      </c>
      <c r="K12" s="6" t="n">
        <f aca="false">IFERROR(H12/F12,0)</f>
        <v>12.6</v>
      </c>
    </row>
    <row r="13" customFormat="false" ht="15" hidden="false" customHeight="false" outlineLevel="0" collapsed="false">
      <c r="A13" s="8" t="n">
        <v>46034</v>
      </c>
      <c r="B13" s="0" t="s">
        <v>13</v>
      </c>
      <c r="C13" s="0" t="s">
        <v>31</v>
      </c>
      <c r="D13" s="0" t="n">
        <v>2980</v>
      </c>
      <c r="E13" s="0" t="n">
        <v>122</v>
      </c>
      <c r="F13" s="4" t="n">
        <v>29</v>
      </c>
      <c r="G13" s="0" t="n">
        <v>17</v>
      </c>
      <c r="H13" s="4" t="n">
        <v>374</v>
      </c>
      <c r="I13" s="5" t="n">
        <f aca="false">IFERROR(E13/D13,0)</f>
        <v>0.0409395973154362</v>
      </c>
      <c r="J13" s="4" t="n">
        <f aca="false">IFERROR(F13/E13,0)</f>
        <v>0.237704918032787</v>
      </c>
      <c r="K13" s="6" t="n">
        <f aca="false">IFERROR(H13/F13,0)</f>
        <v>12.8965517241379</v>
      </c>
    </row>
    <row r="14" customFormat="false" ht="15" hidden="false" customHeight="false" outlineLevel="0" collapsed="false">
      <c r="A14" s="8" t="n">
        <v>46035</v>
      </c>
      <c r="B14" s="0" t="s">
        <v>15</v>
      </c>
      <c r="C14" s="0" t="s">
        <v>27</v>
      </c>
      <c r="D14" s="0" t="n">
        <v>3160</v>
      </c>
      <c r="E14" s="0" t="n">
        <v>129</v>
      </c>
      <c r="F14" s="4" t="n">
        <v>38</v>
      </c>
      <c r="G14" s="0" t="n">
        <v>2</v>
      </c>
      <c r="H14" s="4" t="n">
        <v>52</v>
      </c>
      <c r="I14" s="5" t="n">
        <f aca="false">IFERROR(E14/D14,0)</f>
        <v>0.0408227848101266</v>
      </c>
      <c r="J14" s="4" t="n">
        <f aca="false">IFERROR(F14/E14,0)</f>
        <v>0.294573643410853</v>
      </c>
      <c r="K14" s="6" t="n">
        <f aca="false">IFERROR(H14/F14,0)</f>
        <v>1.36842105263158</v>
      </c>
    </row>
    <row r="15" customFormat="false" ht="15" hidden="false" customHeight="false" outlineLevel="0" collapsed="false">
      <c r="A15" s="8" t="n">
        <v>46036</v>
      </c>
      <c r="B15" s="0" t="s">
        <v>30</v>
      </c>
      <c r="C15" s="0" t="s">
        <v>28</v>
      </c>
      <c r="D15" s="0" t="n">
        <v>3340</v>
      </c>
      <c r="E15" s="0" t="n">
        <v>51</v>
      </c>
      <c r="F15" s="4" t="n">
        <v>47</v>
      </c>
      <c r="G15" s="0" t="n">
        <v>5</v>
      </c>
      <c r="H15" s="4" t="n">
        <v>150</v>
      </c>
      <c r="I15" s="5" t="n">
        <f aca="false">IFERROR(E15/D15,0)</f>
        <v>0.0152694610778443</v>
      </c>
      <c r="J15" s="4" t="n">
        <f aca="false">IFERROR(F15/E15,0)</f>
        <v>0.92156862745098</v>
      </c>
      <c r="K15" s="6" t="n">
        <f aca="false">IFERROR(H15/F15,0)</f>
        <v>3.19148936170213</v>
      </c>
    </row>
    <row r="16" customFormat="false" ht="15" hidden="false" customHeight="false" outlineLevel="0" collapsed="false">
      <c r="A16" s="8" t="n">
        <v>46037</v>
      </c>
      <c r="B16" s="0" t="s">
        <v>19</v>
      </c>
      <c r="C16" s="0" t="s">
        <v>29</v>
      </c>
      <c r="D16" s="0" t="n">
        <v>3520</v>
      </c>
      <c r="E16" s="0" t="n">
        <v>58</v>
      </c>
      <c r="F16" s="4" t="n">
        <v>0</v>
      </c>
      <c r="G16" s="0" t="n">
        <v>8</v>
      </c>
      <c r="H16" s="4" t="n">
        <v>272</v>
      </c>
      <c r="I16" s="5" t="n">
        <f aca="false">IFERROR(E16/D16,0)</f>
        <v>0.0164772727272727</v>
      </c>
      <c r="J16" s="4" t="n">
        <f aca="false">IFERROR(F16/E16,0)</f>
        <v>0</v>
      </c>
      <c r="K16" s="6" t="n">
        <f aca="false">IFERROR(H16/F16,0)</f>
        <v>0</v>
      </c>
    </row>
    <row r="17" customFormat="false" ht="15" hidden="false" customHeight="false" outlineLevel="0" collapsed="false">
      <c r="A17" s="8" t="n">
        <v>46038</v>
      </c>
      <c r="B17" s="0" t="s">
        <v>11</v>
      </c>
      <c r="C17" s="0" t="s">
        <v>31</v>
      </c>
      <c r="D17" s="0" t="n">
        <v>3700</v>
      </c>
      <c r="E17" s="0" t="n">
        <v>65</v>
      </c>
      <c r="F17" s="4" t="n">
        <v>65</v>
      </c>
      <c r="G17" s="0" t="n">
        <v>11</v>
      </c>
      <c r="H17" s="4" t="n">
        <v>198</v>
      </c>
      <c r="I17" s="5" t="n">
        <f aca="false">IFERROR(E17/D17,0)</f>
        <v>0.0175675675675676</v>
      </c>
      <c r="J17" s="4" t="n">
        <f aca="false">IFERROR(F17/E17,0)</f>
        <v>1</v>
      </c>
      <c r="K17" s="6" t="n">
        <f aca="false">IFERROR(H17/F17,0)</f>
        <v>3.04615384615385</v>
      </c>
    </row>
    <row r="18" customFormat="false" ht="15" hidden="false" customHeight="false" outlineLevel="0" collapsed="false">
      <c r="A18" s="8" t="n">
        <v>46039</v>
      </c>
      <c r="B18" s="0" t="s">
        <v>13</v>
      </c>
      <c r="C18" s="0" t="s">
        <v>27</v>
      </c>
      <c r="D18" s="0" t="n">
        <v>3880</v>
      </c>
      <c r="E18" s="0" t="n">
        <v>72</v>
      </c>
      <c r="F18" s="4" t="n">
        <v>74</v>
      </c>
      <c r="G18" s="0" t="n">
        <v>14</v>
      </c>
      <c r="H18" s="4" t="n">
        <v>308</v>
      </c>
      <c r="I18" s="5" t="n">
        <f aca="false">IFERROR(E18/D18,0)</f>
        <v>0.0185567010309278</v>
      </c>
      <c r="J18" s="4" t="n">
        <f aca="false">IFERROR(F18/E18,0)</f>
        <v>1.02777777777778</v>
      </c>
      <c r="K18" s="6" t="n">
        <f aca="false">IFERROR(H18/F18,0)</f>
        <v>4.16216216216216</v>
      </c>
    </row>
    <row r="19" customFormat="false" ht="15" hidden="false" customHeight="false" outlineLevel="0" collapsed="false">
      <c r="A19" s="8" t="n">
        <v>46040</v>
      </c>
      <c r="B19" s="0" t="s">
        <v>15</v>
      </c>
      <c r="C19" s="0" t="s">
        <v>28</v>
      </c>
      <c r="D19" s="0" t="n">
        <v>4060</v>
      </c>
      <c r="E19" s="0" t="n">
        <v>79</v>
      </c>
      <c r="F19" s="4" t="n">
        <v>83</v>
      </c>
      <c r="G19" s="0" t="n">
        <v>17</v>
      </c>
      <c r="H19" s="4" t="n">
        <v>442</v>
      </c>
      <c r="I19" s="5" t="n">
        <f aca="false">IFERROR(E19/D19,0)</f>
        <v>0.0194581280788177</v>
      </c>
      <c r="J19" s="4" t="n">
        <f aca="false">IFERROR(F19/E19,0)</f>
        <v>1.05063291139241</v>
      </c>
      <c r="K19" s="6" t="n">
        <f aca="false">IFERROR(H19/F19,0)</f>
        <v>5.32530120481928</v>
      </c>
    </row>
    <row r="20" customFormat="false" ht="15" hidden="false" customHeight="false" outlineLevel="0" collapsed="false">
      <c r="A20" s="8" t="n">
        <v>46041</v>
      </c>
      <c r="B20" s="0" t="s">
        <v>30</v>
      </c>
      <c r="C20" s="0" t="s">
        <v>29</v>
      </c>
      <c r="D20" s="0" t="n">
        <v>4240</v>
      </c>
      <c r="E20" s="0" t="n">
        <v>86</v>
      </c>
      <c r="F20" s="4" t="n">
        <v>92</v>
      </c>
      <c r="G20" s="0" t="n">
        <v>2</v>
      </c>
      <c r="H20" s="4" t="n">
        <v>60</v>
      </c>
      <c r="I20" s="5" t="n">
        <f aca="false">IFERROR(E20/D20,0)</f>
        <v>0.0202830188679245</v>
      </c>
      <c r="J20" s="4" t="n">
        <f aca="false">IFERROR(F20/E20,0)</f>
        <v>1.06976744186047</v>
      </c>
      <c r="K20" s="6" t="n">
        <f aca="false">IFERROR(H20/F20,0)</f>
        <v>0.652173913043478</v>
      </c>
    </row>
    <row r="21" customFormat="false" ht="15" hidden="false" customHeight="false" outlineLevel="0" collapsed="false">
      <c r="A21" s="8" t="n">
        <v>46042</v>
      </c>
      <c r="B21" s="0" t="s">
        <v>19</v>
      </c>
      <c r="C21" s="0" t="s">
        <v>31</v>
      </c>
      <c r="D21" s="0" t="n">
        <v>4420</v>
      </c>
      <c r="E21" s="0" t="n">
        <v>93</v>
      </c>
      <c r="F21" s="4" t="n">
        <v>0</v>
      </c>
      <c r="G21" s="0" t="n">
        <v>5</v>
      </c>
      <c r="H21" s="4" t="n">
        <v>170</v>
      </c>
      <c r="I21" s="5" t="n">
        <f aca="false">IFERROR(E21/D21,0)</f>
        <v>0.0210407239819005</v>
      </c>
      <c r="J21" s="4" t="n">
        <f aca="false">IFERROR(F21/E21,0)</f>
        <v>0</v>
      </c>
      <c r="K21" s="6" t="n">
        <f aca="false">IFERROR(H21/F21,0)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.4"/>
    <col collapsed="false" customWidth="true" hidden="false" outlineLevel="0" max="2" min="2" style="0" width="9.69"/>
    <col collapsed="false" customWidth="true" hidden="false" outlineLevel="0" max="3" min="3" style="0" width="11.04"/>
    <col collapsed="false" customWidth="true" hidden="false" outlineLevel="0" max="4" min="4" style="0" width="13.86"/>
    <col collapsed="false" customWidth="true" hidden="false" outlineLevel="0" max="5" min="5" style="0" width="91.52"/>
    <col collapsed="false" customWidth="true" hidden="false" outlineLevel="0" max="6" min="6" style="0" width="10.63"/>
  </cols>
  <sheetData>
    <row r="1" customFormat="false" ht="15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9" t="s">
        <v>36</v>
      </c>
      <c r="F1" s="2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tr">
        <f aca="false">A2&amp;"?utm_source="&amp;B2&amp;"&amp;utm_medium="&amp;C2&amp;"&amp;utm_campaign="&amp;D2</f>
        <v>https://example.com/product.html?utm_source=instagram&amp;utm_medium=social&amp;utm_campaign=phase2_launch</v>
      </c>
      <c r="F2" s="0" t="s">
        <v>42</v>
      </c>
    </row>
    <row r="3" customFormat="false" ht="15" hidden="false" customHeight="false" outlineLevel="0" collapsed="false">
      <c r="A3" s="0" t="s">
        <v>38</v>
      </c>
      <c r="B3" s="0" t="s">
        <v>43</v>
      </c>
      <c r="C3" s="0" t="s">
        <v>44</v>
      </c>
      <c r="D3" s="0" t="s">
        <v>45</v>
      </c>
      <c r="E3" s="0" t="str">
        <f aca="false">A3&amp;"?utm_source="&amp;B3&amp;"&amp;utm_medium="&amp;C3&amp;"&amp;utm_campaign="&amp;D3</f>
        <v>https://example.com/product.html?utm_source=facebook&amp;utm_medium=cpc&amp;utm_campaign=phase2_paid</v>
      </c>
      <c r="F3" s="0" t="s">
        <v>46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s">
        <v>44</v>
      </c>
      <c r="D4" s="0" t="s">
        <v>49</v>
      </c>
      <c r="E4" s="0" t="str">
        <f aca="false">A4&amp;"?utm_source="&amp;B4&amp;"&amp;utm_medium="&amp;C4&amp;"&amp;utm_campaign="&amp;D4</f>
        <v>https://example.com/category.html?utm_source=google&amp;utm_medium=cpc&amp;utm_campaign=search_campaign</v>
      </c>
      <c r="F4" s="0" t="s">
        <v>15</v>
      </c>
    </row>
    <row r="5" customFormat="false" ht="15" hidden="false" customHeight="false" outlineLevel="0" collapsed="false">
      <c r="A5" s="0" t="s">
        <v>50</v>
      </c>
      <c r="B5" s="0" t="s">
        <v>51</v>
      </c>
      <c r="C5" s="0" t="s">
        <v>40</v>
      </c>
      <c r="D5" s="0" t="s">
        <v>52</v>
      </c>
      <c r="E5" s="0" t="str">
        <f aca="false">A5&amp;"?utm_source="&amp;B5&amp;"&amp;utm_medium="&amp;C5&amp;"&amp;utm_campaign="&amp;D5</f>
        <v>https://example.com/index.html?utm_source=linkedin&amp;utm_medium=social&amp;utm_campaign=b2b_awareness</v>
      </c>
      <c r="F5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5.65"/>
    <col collapsed="false" customWidth="true" hidden="false" outlineLevel="0" max="3" min="3" style="0" width="11.57"/>
    <col collapsed="false" customWidth="true" hidden="false" outlineLevel="0" max="4" min="4" style="0" width="10.51"/>
    <col collapsed="false" customWidth="true" hidden="false" outlineLevel="0" max="5" min="5" style="0" width="18.29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9" t="s">
        <v>59</v>
      </c>
    </row>
    <row r="2" customFormat="false" ht="15" hidden="false" customHeight="false" outlineLevel="0" collapsed="false">
      <c r="A2" s="0" t="s">
        <v>60</v>
      </c>
      <c r="B2" s="0" t="s">
        <v>61</v>
      </c>
      <c r="C2" s="0" t="s">
        <v>62</v>
      </c>
      <c r="D2" s="0" t="s">
        <v>63</v>
      </c>
      <c r="E2" s="0" t="s">
        <v>64</v>
      </c>
      <c r="F2" s="0" t="s">
        <v>65</v>
      </c>
    </row>
    <row r="3" customFormat="false" ht="15" hidden="false" customHeight="false" outlineLevel="0" collapsed="false">
      <c r="A3" s="0" t="s">
        <v>66</v>
      </c>
      <c r="B3" s="0" t="s">
        <v>61</v>
      </c>
      <c r="C3" s="0" t="s">
        <v>67</v>
      </c>
      <c r="D3" s="0" t="s">
        <v>63</v>
      </c>
      <c r="E3" s="0" t="s">
        <v>68</v>
      </c>
      <c r="F3" s="0" t="s">
        <v>69</v>
      </c>
    </row>
    <row r="4" customFormat="false" ht="15" hidden="false" customHeight="false" outlineLevel="0" collapsed="false">
      <c r="A4" s="0" t="s">
        <v>70</v>
      </c>
      <c r="B4" s="0" t="s">
        <v>71</v>
      </c>
      <c r="C4" s="0" t="s">
        <v>72</v>
      </c>
      <c r="D4" s="0" t="s">
        <v>73</v>
      </c>
      <c r="E4" s="0" t="s">
        <v>74</v>
      </c>
      <c r="F4" s="0" t="s">
        <v>75</v>
      </c>
    </row>
    <row r="5" customFormat="false" ht="15" hidden="false" customHeight="false" outlineLevel="0" collapsed="false">
      <c r="A5" s="0" t="s">
        <v>76</v>
      </c>
      <c r="B5" s="0" t="s">
        <v>61</v>
      </c>
      <c r="C5" s="0" t="s">
        <v>77</v>
      </c>
      <c r="D5" s="0" t="s">
        <v>63</v>
      </c>
      <c r="E5" s="0" t="s">
        <v>78</v>
      </c>
      <c r="F5" s="0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5.79"/>
    <col collapsed="false" customWidth="true" hidden="false" outlineLevel="0" max="3" min="3" style="0" width="5.11"/>
    <col collapsed="false" customWidth="true" hidden="false" outlineLevel="0" max="4" min="4" style="0" width="16.29"/>
  </cols>
  <sheetData>
    <row r="1" customFormat="false" ht="15" hidden="false" customHeight="false" outlineLevel="0" collapsed="false">
      <c r="A1" s="2" t="s">
        <v>80</v>
      </c>
      <c r="B1" s="2" t="s">
        <v>81</v>
      </c>
      <c r="C1" s="2" t="s">
        <v>82</v>
      </c>
      <c r="D1" s="2" t="s">
        <v>83</v>
      </c>
    </row>
    <row r="2" customFormat="false" ht="15" hidden="false" customHeight="false" outlineLevel="0" collapsed="false">
      <c r="A2" s="0" t="s">
        <v>12</v>
      </c>
      <c r="B2" s="5" t="n">
        <v>0.035</v>
      </c>
      <c r="C2" s="5" t="n">
        <f aca="false">Dashboard!B6</f>
        <v>0.0301660516605166</v>
      </c>
      <c r="D2" s="0" t="str">
        <f aca="false">IF(C2&gt;=B2,"OK","Needs improvement")</f>
        <v>Needs improvement</v>
      </c>
    </row>
    <row r="3" customFormat="false" ht="15" hidden="false" customHeight="false" outlineLevel="0" collapsed="false">
      <c r="A3" s="0" t="s">
        <v>14</v>
      </c>
      <c r="B3" s="5" t="n">
        <v>0.04</v>
      </c>
      <c r="C3" s="5" t="n">
        <f aca="false">Dashboard!B7</f>
        <v>0.108868501529052</v>
      </c>
      <c r="D3" s="0" t="str">
        <f aca="false">IF(C3&gt;=B3,"OK","Needs improvement")</f>
        <v>OK</v>
      </c>
    </row>
    <row r="4" customFormat="false" ht="15" hidden="false" customHeight="false" outlineLevel="0" collapsed="false">
      <c r="A4" s="0" t="s">
        <v>16</v>
      </c>
      <c r="B4" s="5" t="n">
        <v>0.55</v>
      </c>
      <c r="C4" s="5" t="n">
        <f aca="false">Dashboard!B8</f>
        <v>0.48</v>
      </c>
      <c r="D4" s="0" t="str">
        <f aca="false">IF(C4&gt;=B4,"OK","Needs improvement")</f>
        <v>Needs improvement</v>
      </c>
    </row>
    <row r="5" customFormat="false" ht="15" hidden="false" customHeight="false" outlineLevel="0" collapsed="false">
      <c r="A5" s="0" t="s">
        <v>18</v>
      </c>
      <c r="B5" s="6" t="n">
        <v>3</v>
      </c>
      <c r="C5" s="6" t="n">
        <f aca="false">Dashboard!B9</f>
        <v>5.05803571428571</v>
      </c>
      <c r="D5" s="0" t="str">
        <f aca="false">IF(C5&gt;=B5,"OK","Needs improvement")</f>
        <v>OK</v>
      </c>
    </row>
    <row r="6" customFormat="false" ht="15" hidden="false" customHeight="false" outlineLevel="0" collapsed="false">
      <c r="A6" s="0" t="s">
        <v>20</v>
      </c>
      <c r="B6" s="4" t="n">
        <v>12</v>
      </c>
      <c r="C6" s="4" t="n">
        <f aca="false">Dashboard!B10</f>
        <v>5.03370786516854</v>
      </c>
      <c r="D6" s="0" t="str">
        <f aca="false">IF(C6&gt;=B6,"OK","Needs improvement")</f>
        <v>Needs improvement</v>
      </c>
    </row>
  </sheetData>
  <conditionalFormatting sqref="D2:D6">
    <cfRule type="expression" priority="2" aboveAverage="0" equalAverage="0" bottom="0" percent="0" rank="0" text="" dxfId="3">
      <formula>D2="OK"</formula>
    </cfRule>
    <cfRule type="expression" priority="3" aboveAverage="0" equalAverage="0" bottom="0" percent="0" rank="0" text="" dxfId="4">
      <formula>D2="Needs improvement"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2026-06-10T11:32:55Z</dcterms:modified>
  <cp:revision>1</cp:revision>
  <dc:subject/>
  <dc:title/>
</cp:coreProperties>
</file>